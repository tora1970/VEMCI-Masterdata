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omments1.xml" ContentType="application/vnd.openxmlformats-officedocument.spreadsheetml.comment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xr:revisionPtr revIDLastSave="0" documentId="8_{B97DF843-DD5F-43F9-B14D-6A3F32FD4A9B}" xr6:coauthVersionLast="47" xr6:coauthVersionMax="47" xr10:uidLastSave="{00000000-0000-0000-0000-000000000000}"/>
  <bookViews>
    <workbookView xWindow="0" yWindow="0" windowWidth="0" windowHeight="0" xr2:uid="{00000000-000D-0000-FFFF-FFFF00000000}"/>
  </bookViews>
  <sheets>
    <sheet name="Materials" sheetId="1" r:id="rId1"/>
    <sheet name="Read Me" sheetId="2" r:id="rId2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Microsoft 365 Copilot</author>
  </authors>
  <commentList>
    <comment ref="E1" authorId="0" shapeId="0" xr:uid="{00000000-0006-0000-0000-000001000000}">
      <text>
        <r>
          <rPr>
            <sz val="11"/>
            <color theme="1"/>
            <rFont val="Calibri"/>
            <family val="2"/>
            <scheme val="minor"/>
          </rPr>
          <t>Indicative starting assumptions for VECIP. Replace with validated supplier or purchasing data before business-case use.</t>
        </r>
      </text>
    </comment>
    <comment ref="F1" authorId="0" shapeId="0" xr:uid="{00000000-0006-0000-0000-000002000000}">
      <text>
        <r>
          <rPr>
            <sz val="11"/>
            <color theme="1"/>
            <rFont val="Calibri"/>
            <family val="2"/>
            <scheme val="minor"/>
          </rPr>
          <t>Typical nominal density. Confirm against the selected grade supplier datasheet.</t>
        </r>
      </text>
    </comment>
  </commentList>
</comments>
</file>

<file path=xl/sharedStrings.xml><?xml version="1.0" encoding="utf-8"?>
<sst xmlns="http://schemas.openxmlformats.org/spreadsheetml/2006/main" count="138" uniqueCount="82">
  <si>
    <t>Material_ID</t>
  </si>
  <si>
    <t>Material_Name</t>
  </si>
  <si>
    <t>Material_Group</t>
  </si>
  <si>
    <t>Material_Family</t>
  </si>
  <si>
    <t>Default_Price_EUR_kg</t>
  </si>
  <si>
    <t>Density_kg_m3</t>
  </si>
  <si>
    <t>Typical_Process</t>
  </si>
  <si>
    <t>Surface_Finish_Potential</t>
  </si>
  <si>
    <t>Recyclability</t>
  </si>
  <si>
    <t>Price_Basis</t>
  </si>
  <si>
    <t>Status</t>
  </si>
  <si>
    <t>Source_URL</t>
  </si>
  <si>
    <t>Notes</t>
  </si>
  <si>
    <t>AL6082</t>
  </si>
  <si>
    <t>EN AW-6082 T6</t>
  </si>
  <si>
    <t>Aluminium</t>
  </si>
  <si>
    <t>Wrought aluminium</t>
  </si>
  <si>
    <t>CNC Machining / Extrusion</t>
  </si>
  <si>
    <t>Excellent after machining and anodising</t>
  </si>
  <si>
    <t>High</t>
  </si>
  <si>
    <t>Indicative VE start value</t>
  </si>
  <si>
    <t>Active</t>
  </si>
  <si>
    <t>https://www.theworldmaterial.com/6082-aluminum/</t>
  </si>
  <si>
    <t>European structural alloy; suitable for premium machined and anodised parts.</t>
  </si>
  <si>
    <t>AL6061</t>
  </si>
  <si>
    <t>AA 6061-T6</t>
  </si>
  <si>
    <t>Very good after machining and anodising</t>
  </si>
  <si>
    <t>https://www.theworldmaterial.com/al-6061-t6-aluminum-alloy/</t>
  </si>
  <si>
    <t>General-purpose wrought alloy with good machinability and corrosion resistance.</t>
  </si>
  <si>
    <t>ADC12</t>
  </si>
  <si>
    <t>Die-casting aluminium</t>
  </si>
  <si>
    <t>HPDC</t>
  </si>
  <si>
    <t>Good as-cast; anodising requires validation</t>
  </si>
  <si>
    <t>https://www.ycumetal.com/density-of-aluminum-alloys/</t>
  </si>
  <si>
    <t>High-volume die-casting alloy; verify cosmetic surface and porosity requirements.</t>
  </si>
  <si>
    <t>A380</t>
  </si>
  <si>
    <t>Common HPDC alloy for housings and structural components.</t>
  </si>
  <si>
    <t>ABS</t>
  </si>
  <si>
    <t>Polymer</t>
  </si>
  <si>
    <t>Engineering thermoplastic</t>
  </si>
  <si>
    <t>Injection Molding</t>
  </si>
  <si>
    <t>Very good moulded appearance and paintability</t>
  </si>
  <si>
    <t>Medium</t>
  </si>
  <si>
    <t>https://kunststoff-profi.de/en/materials/plastics-density-table/</t>
  </si>
  <si>
    <t>Balanced cost, impact strength and cosmetic quality for consumer housings.</t>
  </si>
  <si>
    <t>PCABS</t>
  </si>
  <si>
    <t>PC/ABS</t>
  </si>
  <si>
    <t>Engineering thermoplastic blend</t>
  </si>
  <si>
    <t>Excellent cosmetic surface potential</t>
  </si>
  <si>
    <t>Premium housings requiring impact resistance and good surface quality.</t>
  </si>
  <si>
    <t>PC</t>
  </si>
  <si>
    <t>Polycarbonate (PC)</t>
  </si>
  <si>
    <t>Excellent; transparent grades available</t>
  </si>
  <si>
    <t>High impact resistance; drying and process control are important.</t>
  </si>
  <si>
    <t>PP</t>
  </si>
  <si>
    <t>Polypropylene (PP)</t>
  </si>
  <si>
    <t>Commodity thermoplastic</t>
  </si>
  <si>
    <t>Good; lower premium feel without texture/coating</t>
  </si>
  <si>
    <t>Low density and cost; good chemical resistance and living-hinge capability.</t>
  </si>
  <si>
    <t>PA66</t>
  </si>
  <si>
    <t>Polyamide 66 (PA66)</t>
  </si>
  <si>
    <t>Good; moisture conditioning affects dimensions</t>
  </si>
  <si>
    <t>Good strength and heat resistance; verify moisture and tolerance requirements.</t>
  </si>
  <si>
    <t>POM</t>
  </si>
  <si>
    <t>Polyoxymethylene (POM)</t>
  </si>
  <si>
    <t>Good technical finish; limited coating adhesion</t>
  </si>
  <si>
    <t>Low friction and good dimensional stability for gears, sliders and mechanisms.</t>
  </si>
  <si>
    <t>VECIP Materials Masterdata - Start Dataset</t>
  </si>
  <si>
    <t>Purpose</t>
  </si>
  <si>
    <t>Starter masterdata for Technology Selection and cost-model testing.</t>
  </si>
  <si>
    <t>Required app fields</t>
  </si>
  <si>
    <t>Material_Name, Material_Group, Default_Price_EUR_kg</t>
  </si>
  <si>
    <t>Material groups</t>
  </si>
  <si>
    <t>Use exactly Aluminium and Polymer to match Technology_Rules.xlsx.</t>
  </si>
  <si>
    <t>Price warning</t>
  </si>
  <si>
    <t>Prices are indicative VE assumptions, not quotations. Replace with current B&amp;O or supplier data.</t>
  </si>
  <si>
    <t>Units</t>
  </si>
  <si>
    <t>Price in EUR/kg; density in kg/m³.</t>
  </si>
  <si>
    <t>Naming control</t>
  </si>
  <si>
    <t>Keep Material_Group spelling consistent across Materials.xlsx and Technology_Rules.xlsx.</t>
  </si>
  <si>
    <t>Recommended next control</t>
  </si>
  <si>
    <t>Add valid-from date, region, supplier/market source and recycled-content variant when the rate model is expanded.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</si>
</sst>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\€0.00"/>
  </numFmts>
  <fonts count="8">
    <font>
      <sz val="11"/>
      <color theme="1"/>
      <name val="Calibri"/>
      <family val="2"/>
      <scheme val="minor"/>
    </font>
    <font>
      <b/>
      <sz val="11"/>
      <color rgb="FFFFFFFF"/>
      <name val="Calibri"/>
    </font>
    <font>
      <sz val="11"/>
      <color rgb="FF666666"/>
      <name val="Calibri"/>
    </font>
    <font>
      <sz val="11"/>
      <color rgb="FF000000"/>
      <name val="Calibri"/>
    </font>
    <font>
      <sz val="11"/>
      <color rgb="FF0000FF"/>
      <name val="Calibri"/>
    </font>
    <font>
      <u/>
      <sz val="11"/>
      <color rgb="FF008000"/>
      <name val="Calibri"/>
    </font>
    <font>
      <b/>
      <sz val="16"/>
      <color rgb="FFFFFFFF"/>
      <name val="Calibri"/>
    </font>
    <font>
      <b/>
      <sz val="11"/>
      <color rgb="FF666666"/>
      <name val="Calibri"/>
    </font>
  </fonts>
  <fills count="4">
    <fill>
      <patternFill patternType="none"/>
    </fill>
    <fill>
      <patternFill patternType="gray125"/>
    </fill>
    <fill>
      <patternFill patternType="solid">
        <fgColor rgb="FF17365D"/>
      </patternFill>
    </fill>
    <fill>
      <patternFill patternType="solid">
        <fgColor rgb="FFD9EAF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1" fillId="2" borderId="0" xfId="0" applyFont="1" applyFill="1" applyAlignment="1">
      <alignment horizontal="center" vertical="center" wrapText="1"/>
    </xf>
    <xf numFmtId="0" fontId="2" fillId="0" borderId="0" xfId="0" applyFont="1" applyAlignment="1">
      <alignment vertical="top" wrapText="1"/>
    </xf>
    <xf numFmtId="0" fontId="3" fillId="0" borderId="0" xfId="0" applyFont="1" applyAlignment="1">
      <alignment vertical="top" wrapText="1"/>
    </xf>
    <xf numFmtId="164" fontId="4" fillId="0" borderId="0" xfId="0" applyNumberFormat="1" applyFont="1" applyAlignment="1">
      <alignment vertical="top" wrapText="1"/>
    </xf>
    <xf numFmtId="1" fontId="4" fillId="0" borderId="0" xfId="0" applyNumberFormat="1" applyFont="1" applyAlignment="1">
      <alignment vertical="top" wrapText="1"/>
    </xf>
    <xf numFmtId="0" fontId="5" fillId="0" borderId="0" xfId="0" applyFont="1" applyAlignment="1">
      <alignment vertical="top" wrapText="1"/>
    </xf>
    <xf numFmtId="0" fontId="7" fillId="3" borderId="0" xfId="0" applyFont="1" applyFill="1"/>
    <xf numFmtId="0" fontId="0" fillId="0" borderId="0" xfId="0" applyAlignment="1">
      <alignment vertical="top" wrapText="1"/>
    </xf>
    <xf numFmtId="0" fontId="6" fillId="2" borderId="0" xfId="0" applyFont="1" applyFill="1" applyAlignment="1"/>
    <xf numFmtId="0" fontId="0" fillId="0" borderId="0" xfId="0" applyAlignment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MaterialsMasterData" displayName="MaterialsMasterData" ref="A1:M11">
  <autoFilter ref="A1:M11" xr:uid="{00000000-0009-0000-0100-000001000000}"/>
  <tableColumns count="13">
    <tableColumn id="1" xr3:uid="{00000000-0010-0000-0000-000001000000}" name="Material_ID"/>
    <tableColumn id="2" xr3:uid="{00000000-0010-0000-0000-000002000000}" name="Material_Name"/>
    <tableColumn id="3" xr3:uid="{00000000-0010-0000-0000-000003000000}" name="Material_Group"/>
    <tableColumn id="4" xr3:uid="{00000000-0010-0000-0000-000004000000}" name="Material_Family"/>
    <tableColumn id="5" xr3:uid="{00000000-0010-0000-0000-000005000000}" name="Default_Price_EUR_kg"/>
    <tableColumn id="6" xr3:uid="{00000000-0010-0000-0000-000006000000}" name="Density_kg_m3"/>
    <tableColumn id="7" xr3:uid="{00000000-0010-0000-0000-000007000000}" name="Typical_Process"/>
    <tableColumn id="8" xr3:uid="{00000000-0010-0000-0000-000008000000}" name="Surface_Finish_Potential"/>
    <tableColumn id="9" xr3:uid="{00000000-0010-0000-0000-000009000000}" name="Recyclability"/>
    <tableColumn id="10" xr3:uid="{00000000-0010-0000-0000-00000A000000}" name="Price_Basis"/>
    <tableColumn id="11" xr3:uid="{00000000-0010-0000-0000-00000B000000}" name="Status"/>
    <tableColumn id="12" xr3:uid="{00000000-0010-0000-0000-00000C000000}" name="Source_URL"/>
    <tableColumn id="13" xr3:uid="{00000000-0010-0000-0000-00000D000000}" name="Note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table" Target="../tables/table1.xml"/><Relationship Id="rId1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1"/>
  <sheetViews>
    <sheetView showGridLines="0" tabSelected="1" workbookViewId="0">
      <pane ySplit="1" topLeftCell="A2" activePane="bottomLeft" state="frozen"/>
      <selection pane="bottomLeft"/>
    </sheetView>
  </sheetViews>
  <sheetFormatPr defaultRowHeight="15"/>
  <cols>
    <col min="1" max="1" width="12" customWidth="1"/>
    <col min="2" max="2" width="24" customWidth="1"/>
    <col min="3" max="3" width="14" customWidth="1"/>
    <col min="4" max="4" width="25" customWidth="1"/>
    <col min="5" max="5" width="22" customWidth="1"/>
    <col min="6" max="6" width="16" customWidth="1"/>
    <col min="7" max="7" width="28" customWidth="1"/>
    <col min="8" max="8" width="34" customWidth="1"/>
    <col min="9" max="9" width="14" customWidth="1"/>
    <col min="10" max="10" width="23" customWidth="1"/>
    <col min="11" max="11" width="12" customWidth="1"/>
    <col min="12" max="12" width="48" customWidth="1"/>
    <col min="13" max="13" width="58" customWidth="1"/>
  </cols>
  <sheetData>
    <row r="1" spans="1:13" ht="32.1" customHeight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</row>
    <row r="2" spans="1:13" ht="42" customHeight="1">
      <c r="A2" s="2" t="s">
        <v>13</v>
      </c>
      <c r="B2" s="3" t="s">
        <v>14</v>
      </c>
      <c r="C2" s="2" t="s">
        <v>15</v>
      </c>
      <c r="D2" s="2" t="s">
        <v>16</v>
      </c>
      <c r="E2" s="4">
        <v>3.5</v>
      </c>
      <c r="F2" s="5">
        <v>2710</v>
      </c>
      <c r="G2" s="2" t="s">
        <v>17</v>
      </c>
      <c r="H2" s="2" t="s">
        <v>18</v>
      </c>
      <c r="I2" s="2" t="s">
        <v>19</v>
      </c>
      <c r="J2" s="2" t="s">
        <v>20</v>
      </c>
      <c r="K2" s="2" t="s">
        <v>21</v>
      </c>
      <c r="L2" s="6" t="s">
        <v>22</v>
      </c>
      <c r="M2" s="2" t="s">
        <v>23</v>
      </c>
    </row>
    <row r="3" spans="1:13" ht="42" customHeight="1">
      <c r="A3" s="2" t="s">
        <v>24</v>
      </c>
      <c r="B3" s="3" t="s">
        <v>25</v>
      </c>
      <c r="C3" s="2" t="s">
        <v>15</v>
      </c>
      <c r="D3" s="2" t="s">
        <v>16</v>
      </c>
      <c r="E3" s="4">
        <v>3.4</v>
      </c>
      <c r="F3" s="5">
        <v>2700</v>
      </c>
      <c r="G3" s="2" t="s">
        <v>17</v>
      </c>
      <c r="H3" s="2" t="s">
        <v>26</v>
      </c>
      <c r="I3" s="2" t="s">
        <v>19</v>
      </c>
      <c r="J3" s="2" t="s">
        <v>20</v>
      </c>
      <c r="K3" s="2" t="s">
        <v>21</v>
      </c>
      <c r="L3" s="6" t="s">
        <v>27</v>
      </c>
      <c r="M3" s="2" t="s">
        <v>28</v>
      </c>
    </row>
    <row r="4" spans="1:13" ht="42" customHeight="1">
      <c r="A4" s="2" t="s">
        <v>29</v>
      </c>
      <c r="B4" s="3" t="s">
        <v>29</v>
      </c>
      <c r="C4" s="2" t="s">
        <v>15</v>
      </c>
      <c r="D4" s="2" t="s">
        <v>30</v>
      </c>
      <c r="E4" s="4">
        <v>2.8</v>
      </c>
      <c r="F4" s="5">
        <v>2750</v>
      </c>
      <c r="G4" s="2" t="s">
        <v>31</v>
      </c>
      <c r="H4" s="2" t="s">
        <v>32</v>
      </c>
      <c r="I4" s="2" t="s">
        <v>19</v>
      </c>
      <c r="J4" s="2" t="s">
        <v>20</v>
      </c>
      <c r="K4" s="2" t="s">
        <v>21</v>
      </c>
      <c r="L4" s="6" t="s">
        <v>33</v>
      </c>
      <c r="M4" s="2" t="s">
        <v>34</v>
      </c>
    </row>
    <row r="5" spans="1:13" ht="42" customHeight="1">
      <c r="A5" s="2" t="s">
        <v>35</v>
      </c>
      <c r="B5" s="3" t="s">
        <v>35</v>
      </c>
      <c r="C5" s="2" t="s">
        <v>15</v>
      </c>
      <c r="D5" s="2" t="s">
        <v>30</v>
      </c>
      <c r="E5" s="4">
        <v>2.9</v>
      </c>
      <c r="F5" s="5">
        <v>2740</v>
      </c>
      <c r="G5" s="2" t="s">
        <v>31</v>
      </c>
      <c r="H5" s="2" t="s">
        <v>32</v>
      </c>
      <c r="I5" s="2" t="s">
        <v>19</v>
      </c>
      <c r="J5" s="2" t="s">
        <v>20</v>
      </c>
      <c r="K5" s="2" t="s">
        <v>21</v>
      </c>
      <c r="L5" s="6" t="s">
        <v>33</v>
      </c>
      <c r="M5" s="2" t="s">
        <v>36</v>
      </c>
    </row>
    <row r="6" spans="1:13" ht="42" customHeight="1">
      <c r="A6" s="2" t="s">
        <v>37</v>
      </c>
      <c r="B6" s="3" t="s">
        <v>37</v>
      </c>
      <c r="C6" s="2" t="s">
        <v>38</v>
      </c>
      <c r="D6" s="2" t="s">
        <v>39</v>
      </c>
      <c r="E6" s="4">
        <v>2.4</v>
      </c>
      <c r="F6" s="5">
        <v>1050</v>
      </c>
      <c r="G6" s="2" t="s">
        <v>40</v>
      </c>
      <c r="H6" s="2" t="s">
        <v>41</v>
      </c>
      <c r="I6" s="2" t="s">
        <v>42</v>
      </c>
      <c r="J6" s="2" t="s">
        <v>20</v>
      </c>
      <c r="K6" s="2" t="s">
        <v>21</v>
      </c>
      <c r="L6" s="6" t="s">
        <v>43</v>
      </c>
      <c r="M6" s="2" t="s">
        <v>44</v>
      </c>
    </row>
    <row r="7" spans="1:13" ht="42" customHeight="1">
      <c r="A7" s="2" t="s">
        <v>45</v>
      </c>
      <c r="B7" s="3" t="s">
        <v>46</v>
      </c>
      <c r="C7" s="2" t="s">
        <v>38</v>
      </c>
      <c r="D7" s="2" t="s">
        <v>47</v>
      </c>
      <c r="E7" s="4">
        <v>3.2</v>
      </c>
      <c r="F7" s="5">
        <v>1130</v>
      </c>
      <c r="G7" s="2" t="s">
        <v>40</v>
      </c>
      <c r="H7" s="2" t="s">
        <v>48</v>
      </c>
      <c r="I7" s="2" t="s">
        <v>42</v>
      </c>
      <c r="J7" s="2" t="s">
        <v>20</v>
      </c>
      <c r="K7" s="2" t="s">
        <v>21</v>
      </c>
      <c r="L7" s="6" t="s">
        <v>43</v>
      </c>
      <c r="M7" s="2" t="s">
        <v>49</v>
      </c>
    </row>
    <row r="8" spans="1:13" ht="42" customHeight="1">
      <c r="A8" s="2" t="s">
        <v>50</v>
      </c>
      <c r="B8" s="3" t="s">
        <v>51</v>
      </c>
      <c r="C8" s="2" t="s">
        <v>38</v>
      </c>
      <c r="D8" s="2" t="s">
        <v>39</v>
      </c>
      <c r="E8" s="4">
        <v>3.6</v>
      </c>
      <c r="F8" s="5">
        <v>1200</v>
      </c>
      <c r="G8" s="2" t="s">
        <v>40</v>
      </c>
      <c r="H8" s="2" t="s">
        <v>52</v>
      </c>
      <c r="I8" s="2" t="s">
        <v>42</v>
      </c>
      <c r="J8" s="2" t="s">
        <v>20</v>
      </c>
      <c r="K8" s="2" t="s">
        <v>21</v>
      </c>
      <c r="L8" s="6" t="s">
        <v>43</v>
      </c>
      <c r="M8" s="2" t="s">
        <v>53</v>
      </c>
    </row>
    <row r="9" spans="1:13" ht="42" customHeight="1">
      <c r="A9" s="2" t="s">
        <v>54</v>
      </c>
      <c r="B9" s="3" t="s">
        <v>55</v>
      </c>
      <c r="C9" s="2" t="s">
        <v>38</v>
      </c>
      <c r="D9" s="2" t="s">
        <v>56</v>
      </c>
      <c r="E9" s="4">
        <v>1.7</v>
      </c>
      <c r="F9" s="5">
        <v>905</v>
      </c>
      <c r="G9" s="2" t="s">
        <v>40</v>
      </c>
      <c r="H9" s="2" t="s">
        <v>57</v>
      </c>
      <c r="I9" s="2" t="s">
        <v>19</v>
      </c>
      <c r="J9" s="2" t="s">
        <v>20</v>
      </c>
      <c r="K9" s="2" t="s">
        <v>21</v>
      </c>
      <c r="L9" s="6" t="s">
        <v>43</v>
      </c>
      <c r="M9" s="2" t="s">
        <v>58</v>
      </c>
    </row>
    <row r="10" spans="1:13" ht="42" customHeight="1">
      <c r="A10" s="2" t="s">
        <v>59</v>
      </c>
      <c r="B10" s="3" t="s">
        <v>60</v>
      </c>
      <c r="C10" s="2" t="s">
        <v>38</v>
      </c>
      <c r="D10" s="2" t="s">
        <v>39</v>
      </c>
      <c r="E10" s="4">
        <v>3.1</v>
      </c>
      <c r="F10" s="5">
        <v>1140</v>
      </c>
      <c r="G10" s="2" t="s">
        <v>40</v>
      </c>
      <c r="H10" s="2" t="s">
        <v>61</v>
      </c>
      <c r="I10" s="2" t="s">
        <v>42</v>
      </c>
      <c r="J10" s="2" t="s">
        <v>20</v>
      </c>
      <c r="K10" s="2" t="s">
        <v>21</v>
      </c>
      <c r="L10" s="6" t="s">
        <v>43</v>
      </c>
      <c r="M10" s="2" t="s">
        <v>62</v>
      </c>
    </row>
    <row r="11" spans="1:13" ht="42" customHeight="1">
      <c r="A11" s="2" t="s">
        <v>63</v>
      </c>
      <c r="B11" s="3" t="s">
        <v>64</v>
      </c>
      <c r="C11" s="2" t="s">
        <v>38</v>
      </c>
      <c r="D11" s="2" t="s">
        <v>39</v>
      </c>
      <c r="E11" s="4">
        <v>3</v>
      </c>
      <c r="F11" s="5">
        <v>1410</v>
      </c>
      <c r="G11" s="2" t="s">
        <v>40</v>
      </c>
      <c r="H11" s="2" t="s">
        <v>65</v>
      </c>
      <c r="I11" s="2" t="s">
        <v>42</v>
      </c>
      <c r="J11" s="2" t="s">
        <v>20</v>
      </c>
      <c r="K11" s="2" t="s">
        <v>21</v>
      </c>
      <c r="L11" s="6" t="s">
        <v>43</v>
      </c>
      <c r="M11" s="2" t="s">
        <v>66</v>
      </c>
    </row>
  </sheetData>
  <conditionalFormatting sqref="E2:E11">
    <cfRule type="colorScale" priority="1">
      <colorScale>
        <cfvo type="min"/>
        <cfvo type="percentile" val="50"/>
        <cfvo type="max"/>
        <color rgb="FF63BE7B"/>
        <color rgb="FFFFEB84"/>
        <color rgb="FFF8696B"/>
      </colorScale>
    </cfRule>
  </conditionalFormatting>
  <pageMargins left="0.75" right="0.75" top="1" bottom="1" header="0.5" footer="0.5"/>
  <legacyDrawing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D10"/>
  <sheetViews>
    <sheetView showGridLines="0" workbookViewId="0"/>
  </sheetViews>
  <sheetFormatPr defaultRowHeight="15"/>
  <cols>
    <col min="1" max="1" width="28" customWidth="1"/>
    <col min="2" max="2" width="95" customWidth="1"/>
    <col min="3" max="4" width="3" customWidth="1"/>
  </cols>
  <sheetData>
    <row r="1" spans="1:4">
      <c r="A1" s="9" t="s">
        <v>67</v>
      </c>
      <c r="B1" s="10"/>
      <c r="C1" s="10"/>
      <c r="D1" s="10"/>
    </row>
    <row r="3" spans="1:4">
      <c r="A3" s="7" t="s">
        <v>68</v>
      </c>
      <c r="B3" s="8" t="s">
        <v>69</v>
      </c>
    </row>
    <row r="4" spans="1:4">
      <c r="A4" s="7" t="s">
        <v>70</v>
      </c>
      <c r="B4" s="8" t="s">
        <v>71</v>
      </c>
    </row>
    <row r="5" spans="1:4">
      <c r="A5" s="7" t="s">
        <v>72</v>
      </c>
      <c r="B5" s="8" t="s">
        <v>73</v>
      </c>
    </row>
    <row r="6" spans="1:4">
      <c r="A6" s="7" t="s">
        <v>74</v>
      </c>
      <c r="B6" s="8" t="s">
        <v>75</v>
      </c>
    </row>
    <row r="7" spans="1:4">
      <c r="A7" s="7" t="s">
        <v>76</v>
      </c>
      <c r="B7" s="8" t="s">
        <v>77</v>
      </c>
    </row>
    <row r="8" spans="1:4">
      <c r="A8" s="7" t="s">
        <v>78</v>
      </c>
      <c r="B8" s="8" t="s">
        <v>79</v>
      </c>
    </row>
    <row r="9" spans="1:4">
      <c r="B9" s="8"/>
    </row>
    <row r="10" spans="1:4">
      <c r="A10" s="7" t="s">
        <v>80</v>
      </c>
      <c r="B10" s="8" t="s">
        <v>81</v>
      </c>
    </row>
  </sheetData>
  <mergeCells count="1">
    <mergeCell ref="A1:D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Tonni Rasmussen</dc:creator>
  <cp:keywords/>
  <dc:description/>
  <cp:lastModifiedBy/>
  <cp:revision/>
  <dcterms:created xsi:type="dcterms:W3CDTF">2026-09-24T12:14:19Z</dcterms:created>
  <dcterms:modified xsi:type="dcterms:W3CDTF">2026-09-24T12:26:18Z</dcterms:modified>
  <cp:category/>
  <cp:contentStatus/>
</cp:coreProperties>
</file>